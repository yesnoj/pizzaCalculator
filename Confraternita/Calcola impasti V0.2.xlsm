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berto.robetti\Google Drive\Ricette\"/>
    </mc:Choice>
  </mc:AlternateContent>
  <xr:revisionPtr revIDLastSave="0" documentId="13_ncr:1_{823B5D05-980B-40A0-8327-2CB629280F6C}" xr6:coauthVersionLast="44" xr6:coauthVersionMax="44" xr10:uidLastSave="{00000000-0000-0000-0000-000000000000}"/>
  <bookViews>
    <workbookView xWindow="-110" yWindow="-110" windowWidth="19420" windowHeight="10420" tabRatio="818" xr2:uid="{00000000-000D-0000-FFFF-FFFF00000000}"/>
  </bookViews>
  <sheets>
    <sheet name="Calcola Impasti" sheetId="28" r:id="rId1"/>
    <sheet name="LOV" sheetId="27" r:id="rId2"/>
    <sheet name="Lista Farine" sheetId="30" r:id="rId3"/>
  </sheets>
  <definedNames>
    <definedName name="Diretto">TabTipoImpastoDiretto[Lieviti Diretto]</definedName>
    <definedName name="Indiretto">TabTipoImpastoIndiretto[Lieviti Indiretto]</definedName>
    <definedName name="ListaFarine">TabFarine[Descrizione farina]</definedName>
    <definedName name="ListTipoImpasto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P17" i="28" l="1"/>
  <c r="AP15" i="28"/>
  <c r="AP13" i="28"/>
  <c r="AP11" i="28"/>
  <c r="AP9" i="28"/>
  <c r="AL17" i="28"/>
  <c r="AL15" i="28"/>
  <c r="AL13" i="28"/>
  <c r="AL11" i="28"/>
  <c r="AL9" i="28"/>
  <c r="AH17" i="28"/>
  <c r="AH15" i="28"/>
  <c r="AH13" i="28"/>
  <c r="AH11" i="28"/>
  <c r="AH9" i="28"/>
  <c r="AO47" i="28" l="1"/>
  <c r="AB19" i="28"/>
  <c r="AT15" i="28" s="1"/>
  <c r="BB15" i="28" s="1"/>
  <c r="W35" i="28" l="1"/>
  <c r="K35" i="28"/>
  <c r="AJ55" i="28"/>
  <c r="AV53" i="28"/>
  <c r="AV55" i="28"/>
  <c r="AJ41" i="28"/>
  <c r="AT9" i="28"/>
  <c r="BB9" i="28" s="1"/>
  <c r="AT11" i="28"/>
  <c r="BB11" i="28" s="1"/>
  <c r="AT17" i="28"/>
  <c r="BB17" i="28" s="1"/>
  <c r="AT13" i="28"/>
  <c r="BB13" i="28" s="1"/>
  <c r="AL19" i="28" l="1"/>
  <c r="AJ51" i="28"/>
  <c r="AJ53" i="28" s="1"/>
  <c r="BC37" i="28"/>
  <c r="BB37" i="28"/>
  <c r="BE37" i="28" s="1"/>
  <c r="AV41" i="28"/>
  <c r="AV51" i="28" s="1"/>
  <c r="AJ43" i="28"/>
  <c r="AT19" i="28"/>
  <c r="AO29" i="28" l="1"/>
  <c r="BF37" i="28"/>
  <c r="K37" i="28" s="1"/>
  <c r="W43" i="28" s="1"/>
  <c r="K39" i="28" l="1"/>
  <c r="K43" i="28"/>
  <c r="W39" i="28"/>
  <c r="W37" i="28"/>
  <c r="P29" i="2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Robetti, Alberto</author>
  </authors>
  <commentList>
    <comment ref="AL19" authorId="0" shapeId="0" xr:uid="{080F304D-D4BA-452E-89FE-537B7BE994E0}">
      <text>
        <r>
          <rPr>
            <b/>
            <sz val="9"/>
            <color indexed="81"/>
            <rFont val="Tahoma"/>
            <family val="2"/>
          </rPr>
          <t>Forza media delle farine</t>
        </r>
      </text>
    </comment>
    <comment ref="K35" authorId="0" shapeId="0" xr:uid="{B937DC2C-641F-49C5-A6D1-61613F32A77C}">
      <text>
        <r>
          <rPr>
            <b/>
            <sz val="9"/>
            <color indexed="81"/>
            <rFont val="Tahoma"/>
            <family val="2"/>
          </rPr>
          <t>Calcolato sulla farina</t>
        </r>
      </text>
    </comment>
    <comment ref="K37" authorId="0" shapeId="0" xr:uid="{C03A43F4-B10F-424D-BFFB-F13A50777444}">
      <text>
        <r>
          <rPr>
            <b/>
            <sz val="9"/>
            <color indexed="81"/>
            <rFont val="Tahoma"/>
            <family val="2"/>
          </rPr>
          <t>Calcolato in base al tipo lievito:
- li.co.li : E' calcolata considerando che la q.ta di li.co.li è composta dal 50% di acqua e 50% di farina
- LDBF/LDBS : è la % di idratazione sulla farina</t>
        </r>
      </text>
    </comment>
    <comment ref="W37" authorId="0" shapeId="0" xr:uid="{B15EA138-ED6F-4E3E-B950-EE063044F012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  <comment ref="K39" authorId="0" shapeId="0" xr:uid="{C2C89446-EFA7-4CE7-983D-5EEAFFB39B43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  <comment ref="W39" authorId="0" shapeId="0" xr:uid="{80448F7C-A045-4ACE-BC2B-DA1EE2B60878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  <comment ref="AV53" authorId="0" shapeId="0" xr:uid="{31920EAC-1F5C-470F-9C32-59F6E2D6F081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  <comment ref="AJ55" authorId="0" shapeId="0" xr:uid="{6FE58F2C-E986-4568-8478-859E3D3F22AB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  <comment ref="AV55" authorId="0" shapeId="0" xr:uid="{B0D4F6AE-2047-40F0-999D-534A44056034}">
      <text>
        <r>
          <rPr>
            <b/>
            <sz val="9"/>
            <color indexed="81"/>
            <rFont val="Tahoma"/>
            <family val="2"/>
          </rPr>
          <t>Calcolato sulla q.tà di acqua</t>
        </r>
      </text>
    </comment>
  </commentList>
</comments>
</file>

<file path=xl/sharedStrings.xml><?xml version="1.0" encoding="utf-8"?>
<sst xmlns="http://schemas.openxmlformats.org/spreadsheetml/2006/main" count="158" uniqueCount="83">
  <si>
    <t>Farina (gr)</t>
  </si>
  <si>
    <t>Acqua (gr)</t>
  </si>
  <si>
    <t>Farina Tot</t>
  </si>
  <si>
    <t>Acqua Tot</t>
  </si>
  <si>
    <t>Sale (gr)</t>
  </si>
  <si>
    <t>I</t>
  </si>
  <si>
    <t>Totali</t>
  </si>
  <si>
    <t>Sale gr/lit</t>
  </si>
  <si>
    <t>Olio gr/lit</t>
  </si>
  <si>
    <t>Min</t>
  </si>
  <si>
    <t>Max</t>
  </si>
  <si>
    <t>Med</t>
  </si>
  <si>
    <t>A</t>
  </si>
  <si>
    <t>I N F O R M A Z I O N I     F A R I N E</t>
  </si>
  <si>
    <t>Lieviti Diretto</t>
  </si>
  <si>
    <t>Lieviti Indiretto</t>
  </si>
  <si>
    <t>li.co.li</t>
  </si>
  <si>
    <t>Lievito di Birra Fresco</t>
  </si>
  <si>
    <t>Lievito di Birra Secco</t>
  </si>
  <si>
    <t>Tipo Lievito</t>
  </si>
  <si>
    <t>Forza (W)</t>
  </si>
  <si>
    <t>Dettaglio farina</t>
  </si>
  <si>
    <t>Caputo - Cuoco</t>
  </si>
  <si>
    <t>Q.tà
gr</t>
  </si>
  <si>
    <t>Statistiche
%</t>
  </si>
  <si>
    <t>Malto gr/lit</t>
  </si>
  <si>
    <t>Idrataz. %</t>
  </si>
  <si>
    <t>P A R A M E T R I     I M P A ST O</t>
  </si>
  <si>
    <t>% lievito su farina</t>
  </si>
  <si>
    <t>% lievito su farina biga</t>
  </si>
  <si>
    <t>% Idratazione su biga</t>
  </si>
  <si>
    <t>% BIGA</t>
  </si>
  <si>
    <t>Lievito (gr)</t>
  </si>
  <si>
    <t>% Impasto</t>
  </si>
  <si>
    <t>Olio (gr)</t>
  </si>
  <si>
    <t>Malto (gr)</t>
  </si>
  <si>
    <t>IPOTESI   INDIRETTO</t>
  </si>
  <si>
    <t>IPOTESI   DIRETTO</t>
  </si>
  <si>
    <t>CALCOLO   IMPASTO</t>
  </si>
  <si>
    <t>Acqua (gr) 55%</t>
  </si>
  <si>
    <t>Acqua(gr) 45%</t>
  </si>
  <si>
    <t>CALCOLO   AUTOLISI</t>
  </si>
  <si>
    <t>Farina li.co.li</t>
  </si>
  <si>
    <t>Acqua li.co.li</t>
  </si>
  <si>
    <t>Totale impasto (gr)</t>
  </si>
  <si>
    <t>Descrizione farina</t>
  </si>
  <si>
    <t>Forza Min</t>
  </si>
  <si>
    <t>Forza Med</t>
  </si>
  <si>
    <t>Forza Max</t>
  </si>
  <si>
    <t>Elasticità</t>
  </si>
  <si>
    <t>P/L 0,80/0,90</t>
  </si>
  <si>
    <t>P/L 0,50 / 0,60</t>
  </si>
  <si>
    <t>P/L 2,30max</t>
  </si>
  <si>
    <t>P/L 0,70/0,80</t>
  </si>
  <si>
    <t>Link</t>
  </si>
  <si>
    <t>Prodotta con metodo tradizionale, dalla macinazione integrale del chicco di grano. Ricca di germe e fibra, assicura un profumo genuino dopo la cottura.</t>
  </si>
  <si>
    <t>http://www.mulinocaputo.it/farine/la-linea-cucina/integrale</t>
  </si>
  <si>
    <t>Farina con granulometria calibrata, per una facile idratazione, ottima lavorabilità. Per impasti soffici che, conservano leggerezza e sapore dopo la cottura.</t>
  </si>
  <si>
    <t>http://www.mulinocaputo.it/farine/la-linea-cucina/classica</t>
  </si>
  <si>
    <t>La Tipo 1 nasce dall'esperienza dei Mugnai del Mulino Caputo: è una farina che conserva l'autenticità e la tradizione del sapore di una volta. Prodotta con una selezione della migliore varietà di grani ed arricchita con germe di grano, è funzionale ad impasti a lunga lievitazione ed anche come farina da taglio per pane, pizza, dolci.</t>
  </si>
  <si>
    <t>http://www.mulinocaputo.it/farine/la-linea-cucina/tipo-1</t>
  </si>
  <si>
    <t>Colore Giallo Ambra, granulometria calibrata ed elasticità del glutine la rendono ideale per pastifici artigianali, pasta fresca, pane di grano duro di Altamura e per lo spolvero sul bancone del pizzaiolo.</t>
  </si>
  <si>
    <t>http://www.mulinocaputo.it/farine/la-linea-cucina/semola</t>
  </si>
  <si>
    <t>Il glutine elastico e l'amido soffice favoriscono la formazione d'impasti con ottima idratazione, leggeri, a lievitazione perfetta, soddisfacendo le esigenze dei migliori maestri pizzaiuoli. Ideale per la classica pizza napoletana.</t>
  </si>
  <si>
    <t>http://www.mulinocaputo.it/farine/la-linea-cucina/pizzeria</t>
  </si>
  <si>
    <t>Farina calibrata con amidi di prima estrazione e glutine resistente. La combinazione con acqua genera impasti lucidi e consistenti, per uno straordinario sapore.</t>
  </si>
  <si>
    <t>http://www.mulinocaputo.it/farine/la-linea-cucina/pasta-fresca-e-gnocchi</t>
  </si>
  <si>
    <t>Dalla ricerca e sviluppo del Mulino Caputo nasce Nuvola: un'accurata selezione di materie prime 100% naturali senza additivi né conservanti che assicura volume e sofficità degli impasti grazie all'alta capacità fermentativa naturalmente presente nei grani.</t>
  </si>
  <si>
    <t>http://www.mulinocaputo.it/farine/la-linea-cucina/nuvola-1</t>
  </si>
  <si>
    <t>Il glutine elastico e l'amido soffice favoriscono la formazione d'impasti con ottima idratazione, leggeri, a lievitazione perfetta, soddisfacendo le esigenze dei migliori maestri pizzaiuoli. Ideale per impasti a lunga lievitazione e per la pizza napoletana.</t>
  </si>
  <si>
    <t>http://www.mulinocaputo.it/farine/la-linea-cucina/cuoco</t>
  </si>
  <si>
    <t>Dotta dai migliori grani di forza con alto valore proteico. La qualità del glutine conferisce agli impasti elasticità ed estensibilità, con eccellenti risultati in pasticceria e prodotti lievitati.</t>
  </si>
  <si>
    <t>http://www.mulinocaputo.it/farine/la-linea-cucina/manitoba</t>
  </si>
  <si>
    <t>Descrizione</t>
  </si>
  <si>
    <t>Caputo - Integrale</t>
  </si>
  <si>
    <t>Caputo - BLU (Classica)</t>
  </si>
  <si>
    <t>Caputo - Tipo 1</t>
  </si>
  <si>
    <t>Caputo - Semola</t>
  </si>
  <si>
    <t>Caputo - BLU ( Pizzeria)</t>
  </si>
  <si>
    <t>Caputo - Pasta Fresca e Gnocchi</t>
  </si>
  <si>
    <t>Caputo - Nuvola</t>
  </si>
  <si>
    <t>Caputo - Manitoba</t>
  </si>
  <si>
    <t>CALCOLO   BIGA    (16h)    18°C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</si>
</sst>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7" formatCode="0.0%"/>
    <numFmt numFmtId="175" formatCode="#,##0.0"/>
  </numFmts>
  <fonts count="22" x14ac:knownFonts="1">
    <font>
      <sz val="12"/>
      <name val="Arial"/>
      <family val="2"/>
    </font>
    <font>
      <sz val="12"/>
      <name val="Arial"/>
      <family val="2"/>
    </font>
    <font>
      <sz val="12"/>
      <name val="Calibri Light"/>
      <family val="2"/>
    </font>
    <font>
      <b/>
      <sz val="12"/>
      <name val="Calibri Light"/>
      <family val="2"/>
    </font>
    <font>
      <sz val="10"/>
      <name val="Calibri Light"/>
      <family val="2"/>
    </font>
    <font>
      <b/>
      <sz val="10"/>
      <name val="Calibri Light"/>
      <family val="2"/>
    </font>
    <font>
      <b/>
      <i/>
      <sz val="10"/>
      <name val="Calibri Light"/>
      <family val="2"/>
    </font>
    <font>
      <sz val="10"/>
      <color theme="0"/>
      <name val="Calibri Light"/>
      <family val="2"/>
    </font>
    <font>
      <b/>
      <sz val="10"/>
      <color theme="0"/>
      <name val="Calibri Light"/>
      <family val="2"/>
    </font>
    <font>
      <sz val="10"/>
      <name val="Arial"/>
    </font>
    <font>
      <sz val="8"/>
      <name val="Calibri Light"/>
      <family val="2"/>
    </font>
    <font>
      <b/>
      <sz val="10"/>
      <name val="Arial"/>
      <family val="2"/>
    </font>
    <font>
      <i/>
      <sz val="12"/>
      <name val="Calibri Light"/>
      <family val="2"/>
    </font>
    <font>
      <i/>
      <sz val="8"/>
      <name val="Calibri Light"/>
      <family val="2"/>
    </font>
    <font>
      <sz val="10"/>
      <name val="Arial"/>
      <family val="2"/>
    </font>
    <font>
      <sz val="10"/>
      <color rgb="FFFF0000"/>
      <name val="Calibri Light"/>
      <family val="2"/>
    </font>
    <font>
      <b/>
      <sz val="9"/>
      <color indexed="81"/>
      <name val="Tahoma"/>
      <family val="2"/>
    </font>
    <font>
      <sz val="9"/>
      <name val="Calibri Light"/>
      <family val="2"/>
    </font>
    <font>
      <b/>
      <sz val="8"/>
      <name val="Calibri Light"/>
      <family val="2"/>
    </font>
    <font>
      <sz val="12"/>
      <color theme="0"/>
      <name val="Calibri Light"/>
      <family val="2"/>
    </font>
    <font>
      <sz val="8"/>
      <color theme="0"/>
      <name val="Calibri Light"/>
      <family val="2"/>
    </font>
    <font>
      <b/>
      <i/>
      <sz val="8"/>
      <name val="Calibri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horizontal="center"/>
    </xf>
    <xf numFmtId="9" fontId="1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</cellStyleXfs>
  <cellXfs count="114">
    <xf numFmtId="0" fontId="0" fillId="0" borderId="0" xfId="0">
      <alignment horizontal="center"/>
    </xf>
    <xf numFmtId="0" fontId="2" fillId="0" borderId="0" xfId="0" applyFont="1">
      <alignment horizontal="center"/>
    </xf>
    <xf numFmtId="0" fontId="2" fillId="0" borderId="0" xfId="0" applyFont="1" applyAlignment="1">
      <alignment horizontal="center" vertical="center" wrapText="1"/>
    </xf>
    <xf numFmtId="0" fontId="5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 wrapText="1"/>
    </xf>
    <xf numFmtId="0" fontId="2" fillId="0" borderId="0" xfId="0" applyFont="1" applyFill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horizontal="center" vertical="center" wrapText="1"/>
    </xf>
    <xf numFmtId="10" fontId="10" fillId="0" borderId="0" xfId="1" applyNumberFormat="1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horizontal="center" vertical="center" wrapText="1"/>
    </xf>
    <xf numFmtId="0" fontId="4" fillId="7" borderId="13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5" fillId="7" borderId="14" xfId="0" applyFont="1" applyFill="1" applyBorder="1" applyAlignment="1">
      <alignment horizontal="center" vertical="center" wrapText="1"/>
    </xf>
    <xf numFmtId="0" fontId="6" fillId="4" borderId="12" xfId="0" applyFont="1" applyFill="1" applyBorder="1" applyAlignment="1">
      <alignment horizontal="center" vertical="center" wrapText="1"/>
    </xf>
    <xf numFmtId="0" fontId="6" fillId="4" borderId="13" xfId="0" applyFont="1" applyFill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10" fontId="10" fillId="3" borderId="1" xfId="1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5" fillId="6" borderId="1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10" xfId="0" applyFont="1" applyFill="1" applyBorder="1" applyAlignment="1">
      <alignment horizontal="center" vertical="center" wrapText="1"/>
    </xf>
    <xf numFmtId="0" fontId="5" fillId="6" borderId="0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17" fillId="7" borderId="12" xfId="0" applyFont="1" applyFill="1" applyBorder="1" applyAlignment="1">
      <alignment horizontal="center" vertical="center" wrapText="1"/>
    </xf>
    <xf numFmtId="0" fontId="17" fillId="7" borderId="13" xfId="0" applyFont="1" applyFill="1" applyBorder="1" applyAlignment="1">
      <alignment horizontal="center" vertical="center" wrapText="1"/>
    </xf>
    <xf numFmtId="0" fontId="17" fillId="7" borderId="1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 wrapText="1"/>
    </xf>
    <xf numFmtId="4" fontId="18" fillId="3" borderId="12" xfId="0" applyNumberFormat="1" applyFont="1" applyFill="1" applyBorder="1" applyAlignment="1">
      <alignment horizontal="center" vertical="center" wrapText="1"/>
    </xf>
    <xf numFmtId="0" fontId="18" fillId="3" borderId="13" xfId="0" applyFont="1" applyFill="1" applyBorder="1" applyAlignment="1">
      <alignment horizontal="center" vertical="center" wrapText="1"/>
    </xf>
    <xf numFmtId="0" fontId="18" fillId="3" borderId="14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4" fontId="19" fillId="0" borderId="0" xfId="0" applyNumberFormat="1" applyFont="1" applyAlignment="1">
      <alignment horizontal="center" vertical="center" wrapText="1"/>
    </xf>
    <xf numFmtId="0" fontId="19" fillId="0" borderId="0" xfId="0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 vertical="center" wrapText="1"/>
    </xf>
    <xf numFmtId="0" fontId="10" fillId="2" borderId="12" xfId="0" applyFont="1" applyFill="1" applyBorder="1" applyAlignment="1" applyProtection="1">
      <alignment horizontal="left" vertical="center" wrapText="1"/>
      <protection locked="0"/>
    </xf>
    <xf numFmtId="0" fontId="10" fillId="2" borderId="13" xfId="0" applyFont="1" applyFill="1" applyBorder="1" applyAlignment="1" applyProtection="1">
      <alignment horizontal="left" vertical="center" wrapText="1"/>
      <protection locked="0"/>
    </xf>
    <xf numFmtId="0" fontId="10" fillId="2" borderId="14" xfId="0" applyFont="1" applyFill="1" applyBorder="1" applyAlignment="1" applyProtection="1">
      <alignment horizontal="left" vertical="center" wrapText="1"/>
      <protection locked="0"/>
    </xf>
    <xf numFmtId="4" fontId="1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>
      <alignment horizontal="center" vertical="center" wrapText="1"/>
    </xf>
    <xf numFmtId="4" fontId="21" fillId="3" borderId="1" xfId="0" applyNumberFormat="1" applyFont="1" applyFill="1" applyBorder="1" applyAlignment="1">
      <alignment horizontal="center" vertical="center" wrapText="1"/>
    </xf>
    <xf numFmtId="10" fontId="21" fillId="3" borderId="1" xfId="1" applyNumberFormat="1" applyFont="1" applyFill="1" applyBorder="1" applyAlignment="1">
      <alignment horizontal="center" vertical="center" wrapText="1"/>
    </xf>
    <xf numFmtId="1" fontId="21" fillId="3" borderId="1" xfId="0" applyNumberFormat="1" applyFont="1" applyFill="1" applyBorder="1" applyAlignment="1">
      <alignment horizontal="center" vertical="center" wrapText="1"/>
    </xf>
    <xf numFmtId="2" fontId="20" fillId="0" borderId="0" xfId="0" applyNumberFormat="1" applyFon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4" fontId="18" fillId="3" borderId="12" xfId="0" applyNumberFormat="1" applyFont="1" applyFill="1" applyBorder="1" applyAlignment="1" applyProtection="1">
      <alignment horizontal="center" vertical="center" wrapText="1"/>
    </xf>
    <xf numFmtId="0" fontId="18" fillId="3" borderId="13" xfId="0" applyFont="1" applyFill="1" applyBorder="1" applyAlignment="1" applyProtection="1">
      <alignment horizontal="center" vertical="center" wrapText="1"/>
    </xf>
    <xf numFmtId="0" fontId="18" fillId="3" borderId="14" xfId="0" applyFont="1" applyFill="1" applyBorder="1" applyAlignment="1" applyProtection="1">
      <alignment horizontal="center" vertical="center" wrapText="1"/>
    </xf>
    <xf numFmtId="0" fontId="21" fillId="2" borderId="12" xfId="0" applyFont="1" applyFill="1" applyBorder="1" applyAlignment="1" applyProtection="1">
      <alignment horizontal="center" vertical="center" wrapText="1"/>
      <protection locked="0"/>
    </xf>
    <xf numFmtId="0" fontId="21" fillId="2" borderId="13" xfId="0" applyFont="1" applyFill="1" applyBorder="1" applyAlignment="1" applyProtection="1">
      <alignment horizontal="center" vertical="center" wrapText="1"/>
      <protection locked="0"/>
    </xf>
    <xf numFmtId="0" fontId="21" fillId="2" borderId="14" xfId="0" applyFont="1" applyFill="1" applyBorder="1" applyAlignment="1" applyProtection="1">
      <alignment horizontal="center" vertical="center" wrapText="1"/>
      <protection locked="0"/>
    </xf>
    <xf numFmtId="10" fontId="21" fillId="2" borderId="12" xfId="1" applyNumberFormat="1" applyFont="1" applyFill="1" applyBorder="1" applyAlignment="1" applyProtection="1">
      <alignment horizontal="center" vertical="center" wrapText="1"/>
      <protection locked="0"/>
    </xf>
    <xf numFmtId="10" fontId="21" fillId="2" borderId="13" xfId="1" applyNumberFormat="1" applyFont="1" applyFill="1" applyBorder="1" applyAlignment="1" applyProtection="1">
      <alignment horizontal="center" vertical="center" wrapText="1"/>
      <protection locked="0"/>
    </xf>
    <xf numFmtId="10" fontId="21" fillId="2" borderId="14" xfId="1" applyNumberFormat="1" applyFont="1" applyFill="1" applyBorder="1" applyAlignment="1" applyProtection="1">
      <alignment horizontal="center" vertical="center" wrapText="1"/>
      <protection locked="0"/>
    </xf>
    <xf numFmtId="175" fontId="21" fillId="2" borderId="12" xfId="1" applyNumberFormat="1" applyFont="1" applyFill="1" applyBorder="1" applyAlignment="1" applyProtection="1">
      <alignment horizontal="center" vertical="center" wrapText="1"/>
      <protection locked="0"/>
    </xf>
    <xf numFmtId="175" fontId="21" fillId="2" borderId="13" xfId="1" applyNumberFormat="1" applyFont="1" applyFill="1" applyBorder="1" applyAlignment="1" applyProtection="1">
      <alignment horizontal="center" vertical="center" wrapText="1"/>
      <protection locked="0"/>
    </xf>
    <xf numFmtId="175" fontId="21" fillId="2" borderId="14" xfId="1" applyNumberFormat="1" applyFont="1" applyFill="1" applyBorder="1" applyAlignment="1" applyProtection="1">
      <alignment horizontal="center" vertical="center" wrapText="1"/>
      <protection locked="0"/>
    </xf>
    <xf numFmtId="167" fontId="21" fillId="2" borderId="12" xfId="1" applyNumberFormat="1" applyFont="1" applyFill="1" applyBorder="1" applyAlignment="1" applyProtection="1">
      <alignment horizontal="center" vertical="center" wrapText="1"/>
      <protection locked="0"/>
    </xf>
    <xf numFmtId="167" fontId="21" fillId="2" borderId="13" xfId="1" applyNumberFormat="1" applyFont="1" applyFill="1" applyBorder="1" applyAlignment="1" applyProtection="1">
      <alignment horizontal="center" vertical="center" wrapText="1"/>
      <protection locked="0"/>
    </xf>
    <xf numFmtId="167" fontId="21" fillId="2" borderId="14" xfId="1" applyNumberFormat="1" applyFont="1" applyFill="1" applyBorder="1" applyAlignment="1" applyProtection="1">
      <alignment horizontal="center" vertical="center" wrapText="1"/>
      <protection locked="0"/>
    </xf>
    <xf numFmtId="4" fontId="18" fillId="3" borderId="13" xfId="0" applyNumberFormat="1" applyFont="1" applyFill="1" applyBorder="1" applyAlignment="1">
      <alignment horizontal="center" vertical="center" wrapText="1"/>
    </xf>
    <xf numFmtId="4" fontId="18" fillId="3" borderId="14" xfId="0" applyNumberFormat="1" applyFont="1" applyFill="1" applyBorder="1" applyAlignment="1">
      <alignment horizontal="center" vertical="center" wrapText="1"/>
    </xf>
    <xf numFmtId="10" fontId="18" fillId="3" borderId="12" xfId="1" applyNumberFormat="1" applyFont="1" applyFill="1" applyBorder="1" applyAlignment="1">
      <alignment horizontal="center" vertical="center" wrapText="1"/>
    </xf>
    <xf numFmtId="10" fontId="18" fillId="3" borderId="13" xfId="1" applyNumberFormat="1" applyFont="1" applyFill="1" applyBorder="1" applyAlignment="1">
      <alignment horizontal="center" vertical="center" wrapText="1"/>
    </xf>
    <xf numFmtId="10" fontId="18" fillId="3" borderId="14" xfId="1" applyNumberFormat="1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744BE7C4-EFFE-4183-B136-A60BE95F4A3B}"/>
    <cellStyle name="Percent" xfId="1" builtinId="5"/>
    <cellStyle name="Percent 2" xfId="3" xr:uid="{6FA22AC5-DEFC-4BBB-99E8-76CC41177214}"/>
  </cellStyles>
  <dxfs count="15"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 Light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 Light"/>
        <family val="2"/>
        <scheme val="none"/>
      </font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E324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669C35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6766D8E-A095-40CE-BE26-1BCE7DE41116}" name="TabTipoImpastoDiretto" displayName="TabTipoImpastoDiretto" ref="A1:A4" totalsRowShown="0" headerRowDxfId="14" dataDxfId="13">
  <autoFilter ref="A1:A4" xr:uid="{675F901E-729D-42DC-967A-7E7A22C34263}"/>
  <tableColumns count="1">
    <tableColumn id="1" xr3:uid="{56BB7209-D749-4B50-AF23-135CC1EADEA7}" name="Lieviti Diretto" dataDxfId="1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589D4E-52D6-401E-BE5A-16C42D1A14D7}" name="TabTipoImpastoIndiretto" displayName="TabTipoImpastoIndiretto" ref="C1:C3" totalsRowShown="0" headerRowDxfId="11" dataDxfId="10">
  <autoFilter ref="C1:C3" xr:uid="{CF82FA8E-EBC4-47CA-84A2-C64ECDD223BB}"/>
  <tableColumns count="1">
    <tableColumn id="1" xr3:uid="{8FEC3D30-DDAB-40CA-97D9-442878286D14}" name="Lieviti Indiretto" dataDxfId="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8F3337-2B22-4D85-B7D9-1CE6ADDE4DA1}" name="TabFarine" displayName="TabFarine" ref="A1:G10" totalsRowShown="0" headerRowDxfId="1" dataDxfId="0">
  <autoFilter ref="A1:G10" xr:uid="{84A688C2-63DF-4C97-89BB-CAFB18FCB2DC}"/>
  <sortState xmlns:xlrd2="http://schemas.microsoft.com/office/spreadsheetml/2017/richdata2" ref="A2:G10">
    <sortCondition ref="A2:A10"/>
  </sortState>
  <tableColumns count="7">
    <tableColumn id="1" xr3:uid="{E5B66D41-5980-4571-9112-54EE98E569DB}" name="Descrizione farina" dataDxfId="8"/>
    <tableColumn id="2" xr3:uid="{F6F4F2F8-BD96-496B-A4D7-1699648267C2}" name="Forza Min" dataDxfId="7"/>
    <tableColumn id="3" xr3:uid="{1E68D88E-7931-49BF-9ABB-E4A4938A6E13}" name="Forza Med" dataDxfId="6"/>
    <tableColumn id="4" xr3:uid="{E521B056-58D4-4BCA-B7FE-62C45B851590}" name="Forza Max" dataDxfId="5"/>
    <tableColumn id="5" xr3:uid="{A2006888-6A96-46BE-8D24-546EFBA83C10}" name="Elasticità" dataDxfId="4"/>
    <tableColumn id="6" xr3:uid="{5F953C4E-5334-4589-9591-926C4513B2D1}" name="Descrizione" dataDxfId="3"/>
    <tableColumn id="7" xr3:uid="{7346169B-0809-435C-A321-5E8514A6C40E}" name="Link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57061-1084-4E73-9313-9E5D32AC4821}">
  <sheetPr codeName="Sheet13"/>
  <dimension ref="A1:BF56"/>
  <sheetViews>
    <sheetView showGridLines="0" showRowColHeaders="0" tabSelected="1" workbookViewId="0">
      <selection activeCell="K43" sqref="K43:N43"/>
    </sheetView>
  </sheetViews>
  <sheetFormatPr defaultRowHeight="15.5" x14ac:dyDescent="0.35"/>
  <cols>
    <col min="1" max="5" width="1.53515625" style="2" bestFit="1" customWidth="1"/>
    <col min="6" max="6" width="1.53515625" style="2" customWidth="1"/>
    <col min="7" max="18" width="1.53515625" style="2" bestFit="1" customWidth="1"/>
    <col min="19" max="20" width="1.53515625" style="2" customWidth="1"/>
    <col min="21" max="26" width="1.53515625" style="2" bestFit="1" customWidth="1"/>
    <col min="27" max="27" width="1.53515625" style="2" customWidth="1"/>
    <col min="28" max="28" width="1.53515625" style="2" bestFit="1" customWidth="1"/>
    <col min="29" max="29" width="1.53515625" style="2" customWidth="1"/>
    <col min="30" max="46" width="1.53515625" style="2" bestFit="1" customWidth="1"/>
    <col min="47" max="48" width="1.53515625" style="2" customWidth="1"/>
    <col min="49" max="53" width="1.53515625" style="2" bestFit="1" customWidth="1"/>
    <col min="54" max="54" width="9.765625" style="77" bestFit="1" customWidth="1"/>
    <col min="55" max="55" width="9.84375" style="77" bestFit="1" customWidth="1"/>
    <col min="56" max="56" width="1.53515625" style="77" bestFit="1" customWidth="1"/>
    <col min="57" max="58" width="9.23046875" style="77"/>
    <col min="59" max="16384" width="9.23046875" style="2"/>
  </cols>
  <sheetData>
    <row r="1" spans="1:58" s="76" customFormat="1" ht="13.5" thickBot="1" x14ac:dyDescent="0.4">
      <c r="A1" s="76" t="s">
        <v>12</v>
      </c>
      <c r="B1" s="76" t="s">
        <v>12</v>
      </c>
      <c r="C1" s="76" t="s">
        <v>12</v>
      </c>
      <c r="D1" s="76" t="s">
        <v>12</v>
      </c>
      <c r="E1" s="76" t="s">
        <v>12</v>
      </c>
      <c r="F1" s="76" t="s">
        <v>12</v>
      </c>
      <c r="G1" s="76" t="s">
        <v>12</v>
      </c>
      <c r="H1" s="76" t="s">
        <v>12</v>
      </c>
      <c r="I1" s="76" t="s">
        <v>12</v>
      </c>
      <c r="J1" s="76" t="s">
        <v>12</v>
      </c>
      <c r="K1" s="76" t="s">
        <v>12</v>
      </c>
      <c r="L1" s="76" t="s">
        <v>12</v>
      </c>
      <c r="M1" s="76" t="s">
        <v>12</v>
      </c>
      <c r="N1" s="76" t="s">
        <v>12</v>
      </c>
      <c r="O1" s="76" t="s">
        <v>12</v>
      </c>
      <c r="P1" s="76" t="s">
        <v>12</v>
      </c>
      <c r="Q1" s="76" t="s">
        <v>12</v>
      </c>
      <c r="R1" s="76" t="s">
        <v>12</v>
      </c>
      <c r="S1" s="76" t="s">
        <v>12</v>
      </c>
      <c r="T1" s="76" t="s">
        <v>12</v>
      </c>
      <c r="U1" s="76" t="s">
        <v>12</v>
      </c>
      <c r="V1" s="76" t="s">
        <v>12</v>
      </c>
      <c r="W1" s="76" t="s">
        <v>12</v>
      </c>
      <c r="X1" s="76" t="s">
        <v>12</v>
      </c>
      <c r="Y1" s="76" t="s">
        <v>12</v>
      </c>
      <c r="Z1" s="76" t="s">
        <v>12</v>
      </c>
      <c r="AA1" s="76" t="s">
        <v>12</v>
      </c>
      <c r="AB1" s="76" t="s">
        <v>12</v>
      </c>
      <c r="AC1" s="76" t="s">
        <v>12</v>
      </c>
      <c r="AD1" s="76" t="s">
        <v>12</v>
      </c>
      <c r="AE1" s="76" t="s">
        <v>12</v>
      </c>
      <c r="AF1" s="76" t="s">
        <v>12</v>
      </c>
      <c r="AG1" s="76" t="s">
        <v>12</v>
      </c>
      <c r="AH1" s="76" t="s">
        <v>12</v>
      </c>
      <c r="AI1" s="76" t="s">
        <v>12</v>
      </c>
      <c r="AJ1" s="76" t="s">
        <v>12</v>
      </c>
      <c r="AK1" s="76" t="s">
        <v>12</v>
      </c>
      <c r="AL1" s="76" t="s">
        <v>12</v>
      </c>
      <c r="AM1" s="76" t="s">
        <v>12</v>
      </c>
      <c r="AN1" s="76" t="s">
        <v>12</v>
      </c>
      <c r="AO1" s="76" t="s">
        <v>12</v>
      </c>
      <c r="AP1" s="76" t="s">
        <v>12</v>
      </c>
      <c r="AQ1" s="76" t="s">
        <v>12</v>
      </c>
      <c r="AR1" s="76" t="s">
        <v>12</v>
      </c>
      <c r="AS1" s="76" t="s">
        <v>12</v>
      </c>
      <c r="AT1" s="76" t="s">
        <v>12</v>
      </c>
      <c r="AU1" s="76" t="s">
        <v>12</v>
      </c>
      <c r="AV1" s="76" t="s">
        <v>12</v>
      </c>
      <c r="AW1" s="76" t="s">
        <v>12</v>
      </c>
      <c r="AX1" s="76" t="s">
        <v>12</v>
      </c>
      <c r="AY1" s="76" t="s">
        <v>12</v>
      </c>
      <c r="AZ1" s="76" t="s">
        <v>12</v>
      </c>
    </row>
    <row r="2" spans="1:58" ht="4" customHeight="1" x14ac:dyDescent="0.35"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9"/>
    </row>
    <row r="3" spans="1:58" x14ac:dyDescent="0.35">
      <c r="B3" s="10"/>
      <c r="C3" s="31" t="s">
        <v>13</v>
      </c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2"/>
      <c r="AZ3" s="11"/>
    </row>
    <row r="4" spans="1:58" ht="4" customHeight="1" x14ac:dyDescent="0.35">
      <c r="B4" s="10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1"/>
    </row>
    <row r="5" spans="1:58" s="23" customFormat="1" ht="13" x14ac:dyDescent="0.35">
      <c r="B5" s="24"/>
      <c r="C5" s="46" t="s">
        <v>21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8"/>
      <c r="AA5" s="3"/>
      <c r="AB5" s="44" t="s">
        <v>23</v>
      </c>
      <c r="AC5" s="44"/>
      <c r="AD5" s="45"/>
      <c r="AE5" s="45"/>
      <c r="AF5" s="45"/>
      <c r="AG5" s="3"/>
      <c r="AH5" s="44" t="s">
        <v>20</v>
      </c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3"/>
      <c r="AT5" s="44" t="s">
        <v>24</v>
      </c>
      <c r="AU5" s="44"/>
      <c r="AV5" s="44"/>
      <c r="AW5" s="44"/>
      <c r="AX5" s="44"/>
      <c r="AY5" s="44"/>
      <c r="AZ5" s="25"/>
      <c r="BB5" s="78"/>
      <c r="BC5" s="78"/>
      <c r="BD5" s="78"/>
      <c r="BE5" s="78"/>
      <c r="BF5" s="78"/>
    </row>
    <row r="6" spans="1:58" s="23" customFormat="1" ht="4" customHeight="1" x14ac:dyDescent="0.35">
      <c r="B6" s="24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1"/>
      <c r="AA6" s="3"/>
      <c r="AB6" s="44"/>
      <c r="AC6" s="44"/>
      <c r="AD6" s="45"/>
      <c r="AE6" s="45"/>
      <c r="AF6" s="45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44"/>
      <c r="AU6" s="44"/>
      <c r="AV6" s="44"/>
      <c r="AW6" s="44"/>
      <c r="AX6" s="44"/>
      <c r="AY6" s="44"/>
      <c r="AZ6" s="25"/>
      <c r="BB6" s="78"/>
      <c r="BC6" s="78"/>
      <c r="BD6" s="78"/>
      <c r="BE6" s="78"/>
      <c r="BF6" s="78"/>
    </row>
    <row r="7" spans="1:58" s="23" customFormat="1" ht="13" x14ac:dyDescent="0.35">
      <c r="B7" s="24"/>
      <c r="C7" s="52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4"/>
      <c r="AA7" s="3"/>
      <c r="AB7" s="45"/>
      <c r="AC7" s="45"/>
      <c r="AD7" s="45"/>
      <c r="AE7" s="45"/>
      <c r="AF7" s="45"/>
      <c r="AG7" s="3"/>
      <c r="AH7" s="44" t="s">
        <v>9</v>
      </c>
      <c r="AI7" s="44"/>
      <c r="AJ7" s="44"/>
      <c r="AK7" s="3"/>
      <c r="AL7" s="44" t="s">
        <v>11</v>
      </c>
      <c r="AM7" s="44"/>
      <c r="AN7" s="44"/>
      <c r="AO7" s="3"/>
      <c r="AP7" s="44" t="s">
        <v>10</v>
      </c>
      <c r="AQ7" s="44"/>
      <c r="AR7" s="44"/>
      <c r="AS7" s="3"/>
      <c r="AT7" s="44"/>
      <c r="AU7" s="44"/>
      <c r="AV7" s="44"/>
      <c r="AW7" s="44"/>
      <c r="AX7" s="44"/>
      <c r="AY7" s="44"/>
      <c r="AZ7" s="25"/>
      <c r="BB7" s="78"/>
      <c r="BC7" s="78"/>
      <c r="BD7" s="78"/>
      <c r="BE7" s="78"/>
      <c r="BF7" s="78"/>
    </row>
    <row r="8" spans="1:58" ht="4" customHeight="1" x14ac:dyDescent="0.35">
      <c r="B8" s="10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6"/>
      <c r="AC8" s="16"/>
      <c r="AD8" s="16"/>
      <c r="AE8" s="16"/>
      <c r="AF8" s="4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1"/>
    </row>
    <row r="9" spans="1:58" s="5" customFormat="1" ht="10.5" x14ac:dyDescent="0.35">
      <c r="B9" s="17"/>
      <c r="C9" s="84" t="s">
        <v>76</v>
      </c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6"/>
      <c r="AA9" s="18"/>
      <c r="AB9" s="87">
        <v>176</v>
      </c>
      <c r="AC9" s="87"/>
      <c r="AD9" s="87"/>
      <c r="AE9" s="87"/>
      <c r="AF9" s="87"/>
      <c r="AG9" s="18"/>
      <c r="AH9" s="42">
        <f>IFERROR(VLOOKUP($C9,'Lista Farine'!$A$1:$G$1000,2),"")</f>
        <v>250</v>
      </c>
      <c r="AI9" s="42"/>
      <c r="AJ9" s="42"/>
      <c r="AK9" s="18"/>
      <c r="AL9" s="42">
        <f>IFERROR(VLOOKUP($C9,'Lista Farine'!$A$1:$G$1000,3),"")</f>
        <v>260</v>
      </c>
      <c r="AM9" s="42"/>
      <c r="AN9" s="42"/>
      <c r="AO9" s="18"/>
      <c r="AP9" s="42">
        <f>IFERROR(VLOOKUP($C9,'Lista Farine'!$A$1:$G$1000,4),"")</f>
        <v>270</v>
      </c>
      <c r="AQ9" s="42"/>
      <c r="AR9" s="42"/>
      <c r="AS9" s="18"/>
      <c r="AT9" s="43">
        <f>AB9/$AB$19</f>
        <v>0.58666666666666667</v>
      </c>
      <c r="AU9" s="43"/>
      <c r="AV9" s="43"/>
      <c r="AW9" s="43"/>
      <c r="AX9" s="43"/>
      <c r="AY9" s="43"/>
      <c r="AZ9" s="19"/>
      <c r="BB9" s="92">
        <f>IFERROR(AL9*AT9,0)</f>
        <v>152.53333333333333</v>
      </c>
      <c r="BC9" s="79"/>
      <c r="BD9" s="79"/>
      <c r="BE9" s="79"/>
      <c r="BF9" s="79"/>
    </row>
    <row r="10" spans="1:58" ht="4" customHeight="1" x14ac:dyDescent="0.35">
      <c r="B10" s="10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88"/>
      <c r="AC10" s="88"/>
      <c r="AD10" s="88"/>
      <c r="AE10" s="88"/>
      <c r="AF10" s="88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1"/>
      <c r="BB10" s="93"/>
    </row>
    <row r="11" spans="1:58" s="5" customFormat="1" ht="10.5" customHeight="1" x14ac:dyDescent="0.35">
      <c r="B11" s="17"/>
      <c r="C11" s="84" t="s">
        <v>75</v>
      </c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6"/>
      <c r="AA11" s="18"/>
      <c r="AB11" s="87">
        <v>40</v>
      </c>
      <c r="AC11" s="87"/>
      <c r="AD11" s="87"/>
      <c r="AE11" s="87"/>
      <c r="AF11" s="87"/>
      <c r="AG11" s="18"/>
      <c r="AH11" s="42">
        <f>IFERROR(VLOOKUP($C11,'Lista Farine'!$A$1:$G$1000,2),"")</f>
        <v>220</v>
      </c>
      <c r="AI11" s="42"/>
      <c r="AJ11" s="42"/>
      <c r="AK11" s="18"/>
      <c r="AL11" s="42">
        <f>IFERROR(VLOOKUP($C11,'Lista Farine'!$A$1:$G$1000,3),"")</f>
        <v>230</v>
      </c>
      <c r="AM11" s="42"/>
      <c r="AN11" s="42"/>
      <c r="AO11" s="18"/>
      <c r="AP11" s="42">
        <f>IFERROR(VLOOKUP($C11,'Lista Farine'!$A$1:$G$1000,4),"")</f>
        <v>240</v>
      </c>
      <c r="AQ11" s="42"/>
      <c r="AR11" s="42"/>
      <c r="AS11" s="18"/>
      <c r="AT11" s="43">
        <f>AB11/$AB$19</f>
        <v>0.13333333333333333</v>
      </c>
      <c r="AU11" s="43"/>
      <c r="AV11" s="43"/>
      <c r="AW11" s="43"/>
      <c r="AX11" s="43"/>
      <c r="AY11" s="43"/>
      <c r="AZ11" s="19"/>
      <c r="BB11" s="92">
        <f>IFERROR(AL11*AT11,0)</f>
        <v>30.666666666666668</v>
      </c>
      <c r="BC11" s="79"/>
      <c r="BD11" s="79"/>
      <c r="BE11" s="79"/>
      <c r="BF11" s="79"/>
    </row>
    <row r="12" spans="1:58" ht="4" customHeight="1" x14ac:dyDescent="0.35">
      <c r="B12" s="10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88"/>
      <c r="AC12" s="88"/>
      <c r="AD12" s="88"/>
      <c r="AE12" s="88"/>
      <c r="AF12" s="88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1"/>
      <c r="BB12" s="93"/>
    </row>
    <row r="13" spans="1:58" s="5" customFormat="1" ht="10.5" customHeight="1" x14ac:dyDescent="0.35">
      <c r="B13" s="17"/>
      <c r="C13" s="84" t="s">
        <v>22</v>
      </c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6"/>
      <c r="AA13" s="18"/>
      <c r="AB13" s="87">
        <v>84</v>
      </c>
      <c r="AC13" s="87"/>
      <c r="AD13" s="87"/>
      <c r="AE13" s="87"/>
      <c r="AF13" s="87"/>
      <c r="AG13" s="18"/>
      <c r="AH13" s="42">
        <f>IFERROR(VLOOKUP($C13,'Lista Farine'!$A$1:$G$1000,2),"")</f>
        <v>300</v>
      </c>
      <c r="AI13" s="42"/>
      <c r="AJ13" s="42"/>
      <c r="AK13" s="18"/>
      <c r="AL13" s="42">
        <f>IFERROR(VLOOKUP($C13,'Lista Farine'!$A$1:$G$1000,3),"")</f>
        <v>310</v>
      </c>
      <c r="AM13" s="42"/>
      <c r="AN13" s="42"/>
      <c r="AO13" s="18"/>
      <c r="AP13" s="42">
        <f>IFERROR(VLOOKUP($C13,'Lista Farine'!$A$1:$G$1000,4),"")</f>
        <v>320</v>
      </c>
      <c r="AQ13" s="42"/>
      <c r="AR13" s="42"/>
      <c r="AS13" s="18"/>
      <c r="AT13" s="43">
        <f>AB13/$AB$19</f>
        <v>0.28000000000000003</v>
      </c>
      <c r="AU13" s="43"/>
      <c r="AV13" s="43"/>
      <c r="AW13" s="43"/>
      <c r="AX13" s="43"/>
      <c r="AY13" s="43"/>
      <c r="AZ13" s="19"/>
      <c r="BB13" s="92">
        <f>IFERROR(AL13*AT13,0)</f>
        <v>86.800000000000011</v>
      </c>
      <c r="BC13" s="79"/>
      <c r="BD13" s="79"/>
      <c r="BE13" s="79"/>
      <c r="BF13" s="79"/>
    </row>
    <row r="14" spans="1:58" ht="4" customHeight="1" x14ac:dyDescent="0.35">
      <c r="B14" s="10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88"/>
      <c r="AC14" s="88"/>
      <c r="AD14" s="88"/>
      <c r="AE14" s="88"/>
      <c r="AF14" s="88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1"/>
      <c r="BB14" s="93"/>
    </row>
    <row r="15" spans="1:58" s="5" customFormat="1" ht="10.5" customHeight="1" x14ac:dyDescent="0.35">
      <c r="B15" s="17"/>
      <c r="C15" s="84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6"/>
      <c r="AA15" s="18"/>
      <c r="AB15" s="87"/>
      <c r="AC15" s="87"/>
      <c r="AD15" s="87"/>
      <c r="AE15" s="87"/>
      <c r="AF15" s="87"/>
      <c r="AG15" s="18"/>
      <c r="AH15" s="42" t="str">
        <f>IFERROR(VLOOKUP($C15,'Lista Farine'!$A$1:$G$1000,2),"")</f>
        <v/>
      </c>
      <c r="AI15" s="42"/>
      <c r="AJ15" s="42"/>
      <c r="AK15" s="18"/>
      <c r="AL15" s="42" t="str">
        <f>IFERROR(VLOOKUP($C15,'Lista Farine'!$A$1:$G$1000,3),"")</f>
        <v/>
      </c>
      <c r="AM15" s="42"/>
      <c r="AN15" s="42"/>
      <c r="AO15" s="18"/>
      <c r="AP15" s="42" t="str">
        <f>IFERROR(VLOOKUP($C15,'Lista Farine'!$A$1:$G$1000,4),"")</f>
        <v/>
      </c>
      <c r="AQ15" s="42"/>
      <c r="AR15" s="42"/>
      <c r="AS15" s="18"/>
      <c r="AT15" s="43">
        <f>AB15/$AB$19</f>
        <v>0</v>
      </c>
      <c r="AU15" s="43"/>
      <c r="AV15" s="43"/>
      <c r="AW15" s="43"/>
      <c r="AX15" s="43"/>
      <c r="AY15" s="43"/>
      <c r="AZ15" s="19"/>
      <c r="BB15" s="92">
        <f>IFERROR(AL15*AT15,0)</f>
        <v>0</v>
      </c>
      <c r="BC15" s="79"/>
      <c r="BD15" s="79"/>
      <c r="BE15" s="79"/>
      <c r="BF15" s="79"/>
    </row>
    <row r="16" spans="1:58" ht="4" customHeight="1" x14ac:dyDescent="0.35">
      <c r="B16" s="10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88"/>
      <c r="AC16" s="88"/>
      <c r="AD16" s="88"/>
      <c r="AE16" s="88"/>
      <c r="AF16" s="88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1"/>
      <c r="BB16" s="93"/>
    </row>
    <row r="17" spans="1:58" s="5" customFormat="1" ht="10.5" customHeight="1" x14ac:dyDescent="0.35">
      <c r="B17" s="17"/>
      <c r="C17" s="84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6"/>
      <c r="AA17" s="18"/>
      <c r="AB17" s="87"/>
      <c r="AC17" s="87"/>
      <c r="AD17" s="87"/>
      <c r="AE17" s="87"/>
      <c r="AF17" s="87"/>
      <c r="AG17" s="18"/>
      <c r="AH17" s="42" t="str">
        <f>IFERROR(VLOOKUP($C17,'Lista Farine'!$A$1:$G$1000,2),"")</f>
        <v/>
      </c>
      <c r="AI17" s="42"/>
      <c r="AJ17" s="42"/>
      <c r="AK17" s="18"/>
      <c r="AL17" s="42" t="str">
        <f>IFERROR(VLOOKUP($C17,'Lista Farine'!$A$1:$G$1000,3),"")</f>
        <v/>
      </c>
      <c r="AM17" s="42"/>
      <c r="AN17" s="42"/>
      <c r="AO17" s="18"/>
      <c r="AP17" s="42" t="str">
        <f>IFERROR(VLOOKUP($C17,'Lista Farine'!$A$1:$G$1000,4),"")</f>
        <v/>
      </c>
      <c r="AQ17" s="42"/>
      <c r="AR17" s="42"/>
      <c r="AS17" s="18"/>
      <c r="AT17" s="43">
        <f>AB17/$AB$19</f>
        <v>0</v>
      </c>
      <c r="AU17" s="43"/>
      <c r="AV17" s="43"/>
      <c r="AW17" s="43"/>
      <c r="AX17" s="43"/>
      <c r="AY17" s="43"/>
      <c r="AZ17" s="19"/>
      <c r="BB17" s="92">
        <f>IFERROR(AL17*AT17,0)</f>
        <v>0</v>
      </c>
      <c r="BC17" s="79"/>
      <c r="BD17" s="79"/>
      <c r="BE17" s="79"/>
      <c r="BF17" s="79"/>
    </row>
    <row r="18" spans="1:58" ht="4" customHeight="1" x14ac:dyDescent="0.35">
      <c r="B18" s="10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1"/>
    </row>
    <row r="19" spans="1:58" s="6" customFormat="1" ht="13" x14ac:dyDescent="0.35">
      <c r="B19" s="13"/>
      <c r="C19" s="39" t="s">
        <v>6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1"/>
      <c r="AA19" s="14"/>
      <c r="AB19" s="89">
        <f>AB9+AB11+AB13+AB15+AB17</f>
        <v>300</v>
      </c>
      <c r="AC19" s="89"/>
      <c r="AD19" s="89"/>
      <c r="AE19" s="89"/>
      <c r="AF19" s="89"/>
      <c r="AG19" s="14"/>
      <c r="AH19" s="14"/>
      <c r="AI19" s="14"/>
      <c r="AJ19" s="14"/>
      <c r="AK19" s="14"/>
      <c r="AL19" s="91">
        <f>BB9+BB11+BB13+BB15+BB17</f>
        <v>270</v>
      </c>
      <c r="AM19" s="91"/>
      <c r="AN19" s="91"/>
      <c r="AO19" s="14"/>
      <c r="AP19" s="14"/>
      <c r="AQ19" s="14"/>
      <c r="AR19" s="14"/>
      <c r="AS19" s="14"/>
      <c r="AT19" s="90">
        <f>AT9+AT11+AT13+AT15+AT17</f>
        <v>1</v>
      </c>
      <c r="AU19" s="90"/>
      <c r="AV19" s="90"/>
      <c r="AW19" s="90"/>
      <c r="AX19" s="90"/>
      <c r="AY19" s="90"/>
      <c r="AZ19" s="15"/>
      <c r="BB19" s="76"/>
      <c r="BC19" s="76"/>
      <c r="BD19" s="76"/>
      <c r="BE19" s="76"/>
      <c r="BF19" s="76"/>
    </row>
    <row r="20" spans="1:58" ht="4" customHeight="1" thickBot="1" x14ac:dyDescent="0.4"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2"/>
    </row>
    <row r="21" spans="1:58" ht="8" customHeight="1" thickBot="1" x14ac:dyDescent="0.4"/>
    <row r="22" spans="1:58" ht="4" customHeight="1" x14ac:dyDescent="0.35">
      <c r="B22" s="7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9"/>
    </row>
    <row r="23" spans="1:58" x14ac:dyDescent="0.35">
      <c r="B23" s="10"/>
      <c r="C23" s="31" t="s">
        <v>27</v>
      </c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  <c r="AW23" s="71"/>
      <c r="AX23" s="71"/>
      <c r="AY23" s="72"/>
      <c r="AZ23" s="11"/>
    </row>
    <row r="24" spans="1:58" ht="4" customHeight="1" x14ac:dyDescent="0.35">
      <c r="B24" s="10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1"/>
    </row>
    <row r="25" spans="1:58" x14ac:dyDescent="0.35">
      <c r="B25" s="10"/>
      <c r="C25" s="36" t="s">
        <v>26</v>
      </c>
      <c r="D25" s="37"/>
      <c r="E25" s="37"/>
      <c r="F25" s="37"/>
      <c r="G25" s="37"/>
      <c r="H25" s="38"/>
      <c r="I25" s="12"/>
      <c r="J25" s="106">
        <v>0.7</v>
      </c>
      <c r="K25" s="107"/>
      <c r="L25" s="108"/>
      <c r="M25" s="12"/>
      <c r="N25" s="12"/>
      <c r="O25" s="12"/>
      <c r="P25" s="36" t="s">
        <v>7</v>
      </c>
      <c r="Q25" s="37"/>
      <c r="R25" s="37"/>
      <c r="S25" s="37"/>
      <c r="T25" s="37"/>
      <c r="U25" s="38"/>
      <c r="V25" s="12"/>
      <c r="W25" s="103">
        <v>45</v>
      </c>
      <c r="X25" s="104"/>
      <c r="Y25" s="105"/>
      <c r="Z25" s="12"/>
      <c r="AA25" s="12"/>
      <c r="AB25" s="12"/>
      <c r="AC25" s="36" t="s">
        <v>8</v>
      </c>
      <c r="AD25" s="37"/>
      <c r="AE25" s="37"/>
      <c r="AF25" s="37"/>
      <c r="AG25" s="37"/>
      <c r="AH25" s="38"/>
      <c r="AI25" s="12"/>
      <c r="AJ25" s="103">
        <v>0</v>
      </c>
      <c r="AK25" s="104"/>
      <c r="AL25" s="105"/>
      <c r="AM25" s="12"/>
      <c r="AN25" s="12"/>
      <c r="AO25" s="12"/>
      <c r="AP25" s="36" t="s">
        <v>25</v>
      </c>
      <c r="AQ25" s="37"/>
      <c r="AR25" s="37"/>
      <c r="AS25" s="37"/>
      <c r="AT25" s="37"/>
      <c r="AU25" s="38"/>
      <c r="AV25" s="12"/>
      <c r="AW25" s="103">
        <v>0</v>
      </c>
      <c r="AX25" s="104"/>
      <c r="AY25" s="105"/>
      <c r="AZ25" s="11"/>
    </row>
    <row r="26" spans="1:58" ht="4" customHeight="1" x14ac:dyDescent="0.35">
      <c r="B26" s="10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1"/>
    </row>
    <row r="27" spans="1:58" x14ac:dyDescent="0.35">
      <c r="B27" s="10"/>
      <c r="C27" s="35" t="s">
        <v>37</v>
      </c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12"/>
      <c r="AB27" s="35" t="s">
        <v>36</v>
      </c>
      <c r="AC27" s="35"/>
      <c r="AD27" s="35"/>
      <c r="AE27" s="35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11"/>
    </row>
    <row r="28" spans="1:58" ht="4" customHeight="1" x14ac:dyDescent="0.35">
      <c r="A28" s="6"/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55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5"/>
    </row>
    <row r="29" spans="1:58" x14ac:dyDescent="0.35">
      <c r="B29" s="10"/>
      <c r="C29" s="59" t="s">
        <v>44</v>
      </c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1"/>
      <c r="O29" s="14"/>
      <c r="P29" s="73">
        <f>W35+K35+K37+W37+K39+W39</f>
        <v>585.22349999999994</v>
      </c>
      <c r="Q29" s="74"/>
      <c r="R29" s="74"/>
      <c r="S29" s="74"/>
      <c r="T29" s="74"/>
      <c r="U29" s="74"/>
      <c r="V29" s="74"/>
      <c r="W29" s="74"/>
      <c r="X29" s="74"/>
      <c r="Y29" s="74"/>
      <c r="Z29" s="75"/>
      <c r="AA29" s="12"/>
      <c r="AB29" s="59" t="s">
        <v>44</v>
      </c>
      <c r="AC29" s="60"/>
      <c r="AD29" s="60"/>
      <c r="AE29" s="60"/>
      <c r="AF29" s="60"/>
      <c r="AG29" s="60"/>
      <c r="AH29" s="60"/>
      <c r="AI29" s="60"/>
      <c r="AJ29" s="60"/>
      <c r="AK29" s="60"/>
      <c r="AL29" s="60"/>
      <c r="AM29" s="61"/>
      <c r="AN29" s="14"/>
      <c r="AO29" s="94">
        <f>AJ41+AV41+AJ43+AJ51+AV51+AJ53+AV53+AJ55+AV55</f>
        <v>520.69500000000005</v>
      </c>
      <c r="AP29" s="95"/>
      <c r="AQ29" s="95"/>
      <c r="AR29" s="95"/>
      <c r="AS29" s="95"/>
      <c r="AT29" s="95"/>
      <c r="AU29" s="95"/>
      <c r="AV29" s="95"/>
      <c r="AW29" s="95"/>
      <c r="AX29" s="95"/>
      <c r="AY29" s="96"/>
      <c r="AZ29" s="11"/>
    </row>
    <row r="30" spans="1:58" ht="4" customHeight="1" x14ac:dyDescent="0.35">
      <c r="A30" s="6"/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55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5"/>
    </row>
    <row r="31" spans="1:58" x14ac:dyDescent="0.35">
      <c r="B31" s="10"/>
      <c r="C31" s="59" t="s">
        <v>19</v>
      </c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1"/>
      <c r="O31" s="14"/>
      <c r="P31" s="97" t="s">
        <v>16</v>
      </c>
      <c r="Q31" s="98"/>
      <c r="R31" s="98"/>
      <c r="S31" s="98"/>
      <c r="T31" s="98"/>
      <c r="U31" s="98"/>
      <c r="V31" s="98"/>
      <c r="W31" s="98"/>
      <c r="X31" s="98"/>
      <c r="Y31" s="98"/>
      <c r="Z31" s="99"/>
      <c r="AA31" s="12"/>
      <c r="AB31" s="32" t="s">
        <v>19</v>
      </c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4"/>
      <c r="AN31" s="14"/>
      <c r="AO31" s="97" t="s">
        <v>17</v>
      </c>
      <c r="AP31" s="98"/>
      <c r="AQ31" s="98"/>
      <c r="AR31" s="98"/>
      <c r="AS31" s="98"/>
      <c r="AT31" s="98"/>
      <c r="AU31" s="98"/>
      <c r="AV31" s="98"/>
      <c r="AW31" s="98"/>
      <c r="AX31" s="98"/>
      <c r="AY31" s="99"/>
      <c r="AZ31" s="11"/>
    </row>
    <row r="32" spans="1:58" ht="4" customHeight="1" x14ac:dyDescent="0.35">
      <c r="B32" s="10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1"/>
    </row>
    <row r="33" spans="2:58" x14ac:dyDescent="0.35">
      <c r="B33" s="10"/>
      <c r="C33" s="59" t="s">
        <v>28</v>
      </c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1"/>
      <c r="O33" s="14"/>
      <c r="P33" s="100">
        <v>0.26</v>
      </c>
      <c r="Q33" s="101"/>
      <c r="R33" s="101"/>
      <c r="S33" s="101"/>
      <c r="T33" s="101"/>
      <c r="U33" s="101"/>
      <c r="V33" s="101"/>
      <c r="W33" s="101"/>
      <c r="X33" s="101"/>
      <c r="Y33" s="101"/>
      <c r="Z33" s="102"/>
      <c r="AA33" s="12"/>
      <c r="AB33" s="35" t="s">
        <v>82</v>
      </c>
      <c r="AC33" s="35"/>
      <c r="AD33" s="35"/>
      <c r="AE33" s="35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11"/>
    </row>
    <row r="34" spans="2:58" ht="4" customHeight="1" x14ac:dyDescent="0.35">
      <c r="B34" s="10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1"/>
    </row>
    <row r="35" spans="2:58" ht="15.5" customHeight="1" x14ac:dyDescent="0.35">
      <c r="B35" s="10"/>
      <c r="C35" s="59" t="s">
        <v>32</v>
      </c>
      <c r="D35" s="60"/>
      <c r="E35" s="60"/>
      <c r="F35" s="60"/>
      <c r="G35" s="60"/>
      <c r="H35" s="60"/>
      <c r="I35" s="61"/>
      <c r="J35" s="12"/>
      <c r="K35" s="73">
        <f>AB19*P33</f>
        <v>78</v>
      </c>
      <c r="L35" s="109"/>
      <c r="M35" s="109"/>
      <c r="N35" s="110"/>
      <c r="O35" s="12"/>
      <c r="P35" s="59" t="s">
        <v>0</v>
      </c>
      <c r="Q35" s="60"/>
      <c r="R35" s="60"/>
      <c r="S35" s="60"/>
      <c r="T35" s="60"/>
      <c r="U35" s="61"/>
      <c r="V35" s="12"/>
      <c r="W35" s="73">
        <f>AB19</f>
        <v>300</v>
      </c>
      <c r="X35" s="109"/>
      <c r="Y35" s="109"/>
      <c r="Z35" s="110"/>
      <c r="AA35" s="12"/>
      <c r="AB35" s="32" t="s">
        <v>31</v>
      </c>
      <c r="AC35" s="33"/>
      <c r="AD35" s="33"/>
      <c r="AE35" s="33"/>
      <c r="AF35" s="33"/>
      <c r="AG35" s="33"/>
      <c r="AH35" s="33"/>
      <c r="AI35" s="33"/>
      <c r="AJ35" s="33"/>
      <c r="AK35" s="33"/>
      <c r="AL35" s="33"/>
      <c r="AM35" s="34"/>
      <c r="AN35" s="14"/>
      <c r="AO35" s="100">
        <v>0.35</v>
      </c>
      <c r="AP35" s="101"/>
      <c r="AQ35" s="101"/>
      <c r="AR35" s="101"/>
      <c r="AS35" s="101"/>
      <c r="AT35" s="101"/>
      <c r="AU35" s="101"/>
      <c r="AV35" s="101"/>
      <c r="AW35" s="101"/>
      <c r="AX35" s="101"/>
      <c r="AY35" s="102"/>
      <c r="AZ35" s="11"/>
      <c r="BB35" s="77" t="s">
        <v>42</v>
      </c>
      <c r="BC35" s="77" t="s">
        <v>43</v>
      </c>
      <c r="BE35" s="77" t="s">
        <v>2</v>
      </c>
      <c r="BF35" s="77" t="s">
        <v>3</v>
      </c>
    </row>
    <row r="36" spans="2:58" ht="4" customHeight="1" x14ac:dyDescent="0.35">
      <c r="B36" s="10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1"/>
    </row>
    <row r="37" spans="2:58" ht="15.5" customHeight="1" x14ac:dyDescent="0.35">
      <c r="B37" s="10"/>
      <c r="C37" s="59" t="s">
        <v>1</v>
      </c>
      <c r="D37" s="60"/>
      <c r="E37" s="60"/>
      <c r="F37" s="60"/>
      <c r="G37" s="60"/>
      <c r="H37" s="60"/>
      <c r="I37" s="61"/>
      <c r="J37" s="12"/>
      <c r="K37" s="73">
        <f>IF(P31="li.co.li",BF37,W35*J25)</f>
        <v>198.29999999999998</v>
      </c>
      <c r="L37" s="109"/>
      <c r="M37" s="109"/>
      <c r="N37" s="110"/>
      <c r="O37" s="12"/>
      <c r="P37" s="59" t="s">
        <v>4</v>
      </c>
      <c r="Q37" s="60"/>
      <c r="R37" s="60"/>
      <c r="S37" s="60"/>
      <c r="T37" s="60"/>
      <c r="U37" s="61"/>
      <c r="V37" s="12"/>
      <c r="W37" s="73">
        <f>K37/1000*W25</f>
        <v>8.9234999999999989</v>
      </c>
      <c r="X37" s="109"/>
      <c r="Y37" s="109"/>
      <c r="Z37" s="110"/>
      <c r="AA37" s="12"/>
      <c r="AB37" s="32" t="s">
        <v>29</v>
      </c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4"/>
      <c r="AN37" s="14"/>
      <c r="AO37" s="100">
        <v>0.01</v>
      </c>
      <c r="AP37" s="101"/>
      <c r="AQ37" s="101"/>
      <c r="AR37" s="101"/>
      <c r="AS37" s="101"/>
      <c r="AT37" s="101"/>
      <c r="AU37" s="101"/>
      <c r="AV37" s="101"/>
      <c r="AW37" s="101"/>
      <c r="AX37" s="101"/>
      <c r="AY37" s="102"/>
      <c r="AZ37" s="11"/>
      <c r="BB37" s="77">
        <f>K35/2</f>
        <v>39</v>
      </c>
      <c r="BC37" s="77">
        <f>K35/2</f>
        <v>39</v>
      </c>
      <c r="BE37" s="80">
        <f>W35+BB37</f>
        <v>339</v>
      </c>
      <c r="BF37" s="77">
        <f>(BE37*J25)-BC37</f>
        <v>198.29999999999998</v>
      </c>
    </row>
    <row r="38" spans="2:58" ht="4" customHeight="1" x14ac:dyDescent="0.35">
      <c r="B38" s="10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1"/>
    </row>
    <row r="39" spans="2:58" ht="15.5" customHeight="1" x14ac:dyDescent="0.35">
      <c r="B39" s="10"/>
      <c r="C39" s="32" t="s">
        <v>34</v>
      </c>
      <c r="D39" s="33"/>
      <c r="E39" s="33"/>
      <c r="F39" s="33"/>
      <c r="G39" s="33"/>
      <c r="H39" s="33"/>
      <c r="I39" s="34"/>
      <c r="J39" s="12"/>
      <c r="K39" s="73">
        <f>$K$37/1000*AJ25</f>
        <v>0</v>
      </c>
      <c r="L39" s="109"/>
      <c r="M39" s="109"/>
      <c r="N39" s="110"/>
      <c r="O39" s="12"/>
      <c r="P39" s="32" t="s">
        <v>35</v>
      </c>
      <c r="Q39" s="33"/>
      <c r="R39" s="33"/>
      <c r="S39" s="33"/>
      <c r="T39" s="33"/>
      <c r="U39" s="34"/>
      <c r="V39" s="12"/>
      <c r="W39" s="73">
        <f>K37/1000*AW25</f>
        <v>0</v>
      </c>
      <c r="X39" s="109"/>
      <c r="Y39" s="109"/>
      <c r="Z39" s="110"/>
      <c r="AA39" s="12"/>
      <c r="AB39" s="32" t="s">
        <v>30</v>
      </c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4"/>
      <c r="AN39" s="14"/>
      <c r="AO39" s="100">
        <v>0.45</v>
      </c>
      <c r="AP39" s="101"/>
      <c r="AQ39" s="101"/>
      <c r="AR39" s="101"/>
      <c r="AS39" s="101"/>
      <c r="AT39" s="101"/>
      <c r="AU39" s="101"/>
      <c r="AV39" s="101"/>
      <c r="AW39" s="101"/>
      <c r="AX39" s="101"/>
      <c r="AY39" s="102"/>
      <c r="AZ39" s="11"/>
    </row>
    <row r="40" spans="2:58" s="27" customFormat="1" ht="4" customHeight="1" x14ac:dyDescent="0.35">
      <c r="B40" s="56"/>
      <c r="AA40" s="57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58"/>
      <c r="BB40" s="81"/>
      <c r="BC40" s="81"/>
      <c r="BD40" s="81"/>
      <c r="BE40" s="81"/>
      <c r="BF40" s="81"/>
    </row>
    <row r="41" spans="2:58" ht="15.5" customHeight="1" x14ac:dyDescent="0.35">
      <c r="B41" s="10"/>
      <c r="C41" s="35" t="s">
        <v>41</v>
      </c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12"/>
      <c r="AB41" s="32" t="s">
        <v>0</v>
      </c>
      <c r="AC41" s="33"/>
      <c r="AD41" s="33"/>
      <c r="AE41" s="33"/>
      <c r="AF41" s="33"/>
      <c r="AG41" s="33"/>
      <c r="AH41" s="34"/>
      <c r="AI41" s="12"/>
      <c r="AJ41" s="73">
        <f>$AB$19*AO35</f>
        <v>105</v>
      </c>
      <c r="AK41" s="109"/>
      <c r="AL41" s="109"/>
      <c r="AM41" s="110"/>
      <c r="AN41" s="12"/>
      <c r="AO41" s="32" t="s">
        <v>1</v>
      </c>
      <c r="AP41" s="33"/>
      <c r="AQ41" s="33"/>
      <c r="AR41" s="33"/>
      <c r="AS41" s="33"/>
      <c r="AT41" s="34"/>
      <c r="AU41" s="12"/>
      <c r="AV41" s="73">
        <f>AJ41*AO39</f>
        <v>47.25</v>
      </c>
      <c r="AW41" s="109"/>
      <c r="AX41" s="109"/>
      <c r="AY41" s="110"/>
      <c r="AZ41" s="11"/>
    </row>
    <row r="42" spans="2:58" ht="4" customHeight="1" x14ac:dyDescent="0.35">
      <c r="B42" s="10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1"/>
    </row>
    <row r="43" spans="2:58" ht="15.5" customHeight="1" x14ac:dyDescent="0.35">
      <c r="B43" s="10"/>
      <c r="C43" s="59" t="s">
        <v>39</v>
      </c>
      <c r="D43" s="60"/>
      <c r="E43" s="60"/>
      <c r="F43" s="60"/>
      <c r="G43" s="60"/>
      <c r="H43" s="60"/>
      <c r="I43" s="61"/>
      <c r="J43" s="12"/>
      <c r="K43" s="73">
        <f>$K$37*55/100</f>
        <v>109.06499999999998</v>
      </c>
      <c r="L43" s="109"/>
      <c r="M43" s="109"/>
      <c r="N43" s="110"/>
      <c r="O43" s="26"/>
      <c r="P43" s="59" t="s">
        <v>40</v>
      </c>
      <c r="Q43" s="60"/>
      <c r="R43" s="60"/>
      <c r="S43" s="60"/>
      <c r="T43" s="60"/>
      <c r="U43" s="61"/>
      <c r="V43" s="12"/>
      <c r="W43" s="73">
        <f>$K$37*45/100</f>
        <v>89.234999999999999</v>
      </c>
      <c r="X43" s="109"/>
      <c r="Y43" s="109"/>
      <c r="Z43" s="110"/>
      <c r="AA43" s="12"/>
      <c r="AB43" s="32" t="s">
        <v>32</v>
      </c>
      <c r="AC43" s="33"/>
      <c r="AD43" s="33"/>
      <c r="AE43" s="33"/>
      <c r="AF43" s="33"/>
      <c r="AG43" s="33"/>
      <c r="AH43" s="34"/>
      <c r="AI43" s="12"/>
      <c r="AJ43" s="73">
        <f>AJ41*AO37</f>
        <v>1.05</v>
      </c>
      <c r="AK43" s="109"/>
      <c r="AL43" s="109"/>
      <c r="AM43" s="110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1"/>
    </row>
    <row r="44" spans="2:58" ht="4" customHeight="1" thickBot="1" x14ac:dyDescent="0.4">
      <c r="B44" s="10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1"/>
    </row>
    <row r="45" spans="2:58" ht="15.5" customHeight="1" x14ac:dyDescent="0.35">
      <c r="B45" s="10"/>
      <c r="C45" s="62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4"/>
      <c r="AA45" s="12"/>
      <c r="AB45" s="35" t="s">
        <v>38</v>
      </c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11"/>
    </row>
    <row r="46" spans="2:58" ht="4" customHeight="1" x14ac:dyDescent="0.35">
      <c r="B46" s="10"/>
      <c r="C46" s="65"/>
      <c r="D46" s="66"/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7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1"/>
    </row>
    <row r="47" spans="2:58" x14ac:dyDescent="0.35">
      <c r="B47" s="10"/>
      <c r="C47" s="65"/>
      <c r="D47" s="66"/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7"/>
      <c r="AA47" s="12"/>
      <c r="AB47" s="32" t="s">
        <v>33</v>
      </c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4"/>
      <c r="AN47" s="14"/>
      <c r="AO47" s="111">
        <f>1-AO35</f>
        <v>0.65</v>
      </c>
      <c r="AP47" s="112"/>
      <c r="AQ47" s="112"/>
      <c r="AR47" s="112"/>
      <c r="AS47" s="112"/>
      <c r="AT47" s="112"/>
      <c r="AU47" s="112"/>
      <c r="AV47" s="112"/>
      <c r="AW47" s="112"/>
      <c r="AX47" s="112"/>
      <c r="AY47" s="113"/>
      <c r="AZ47" s="11"/>
    </row>
    <row r="48" spans="2:58" ht="4" customHeight="1" x14ac:dyDescent="0.35">
      <c r="B48" s="10"/>
      <c r="C48" s="65"/>
      <c r="D48" s="66"/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7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1"/>
    </row>
    <row r="49" spans="2:52" x14ac:dyDescent="0.35">
      <c r="B49" s="10"/>
      <c r="C49" s="65"/>
      <c r="D49" s="66"/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7"/>
      <c r="AA49" s="12"/>
      <c r="AB49" s="32" t="s">
        <v>28</v>
      </c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4"/>
      <c r="AN49" s="14"/>
      <c r="AO49" s="100">
        <v>1E-3</v>
      </c>
      <c r="AP49" s="101"/>
      <c r="AQ49" s="101"/>
      <c r="AR49" s="101"/>
      <c r="AS49" s="101"/>
      <c r="AT49" s="101"/>
      <c r="AU49" s="101"/>
      <c r="AV49" s="101"/>
      <c r="AW49" s="101"/>
      <c r="AX49" s="101"/>
      <c r="AY49" s="102"/>
      <c r="AZ49" s="11"/>
    </row>
    <row r="50" spans="2:52" ht="4" customHeight="1" x14ac:dyDescent="0.35">
      <c r="B50" s="10"/>
      <c r="C50" s="65"/>
      <c r="D50" s="66"/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7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1"/>
    </row>
    <row r="51" spans="2:52" ht="15.5" customHeight="1" x14ac:dyDescent="0.35">
      <c r="B51" s="10"/>
      <c r="C51" s="65"/>
      <c r="D51" s="66"/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7"/>
      <c r="AA51" s="12"/>
      <c r="AB51" s="32" t="s">
        <v>0</v>
      </c>
      <c r="AC51" s="33"/>
      <c r="AD51" s="33"/>
      <c r="AE51" s="33"/>
      <c r="AF51" s="33"/>
      <c r="AG51" s="33"/>
      <c r="AH51" s="34"/>
      <c r="AI51" s="12"/>
      <c r="AJ51" s="73">
        <f>AB19-AJ41</f>
        <v>195</v>
      </c>
      <c r="AK51" s="109"/>
      <c r="AL51" s="109"/>
      <c r="AM51" s="110"/>
      <c r="AN51" s="12"/>
      <c r="AO51" s="32" t="s">
        <v>1</v>
      </c>
      <c r="AP51" s="33"/>
      <c r="AQ51" s="33"/>
      <c r="AR51" s="33"/>
      <c r="AS51" s="33"/>
      <c r="AT51" s="34"/>
      <c r="AU51" s="12"/>
      <c r="AV51" s="73">
        <f>(AB19*J25)-AV41</f>
        <v>162.75</v>
      </c>
      <c r="AW51" s="109"/>
      <c r="AX51" s="109"/>
      <c r="AY51" s="110"/>
      <c r="AZ51" s="11"/>
    </row>
    <row r="52" spans="2:52" ht="4" customHeight="1" x14ac:dyDescent="0.35">
      <c r="B52" s="10"/>
      <c r="C52" s="65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7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1"/>
    </row>
    <row r="53" spans="2:52" ht="15.5" customHeight="1" x14ac:dyDescent="0.35">
      <c r="B53" s="10"/>
      <c r="C53" s="65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7"/>
      <c r="AA53" s="12"/>
      <c r="AB53" s="32" t="s">
        <v>32</v>
      </c>
      <c r="AC53" s="33"/>
      <c r="AD53" s="33"/>
      <c r="AE53" s="33"/>
      <c r="AF53" s="33"/>
      <c r="AG53" s="33"/>
      <c r="AH53" s="34"/>
      <c r="AI53" s="12"/>
      <c r="AJ53" s="73">
        <f>AJ51*AO49</f>
        <v>0.19500000000000001</v>
      </c>
      <c r="AK53" s="109"/>
      <c r="AL53" s="109"/>
      <c r="AM53" s="110"/>
      <c r="AN53" s="12"/>
      <c r="AO53" s="32" t="s">
        <v>4</v>
      </c>
      <c r="AP53" s="33"/>
      <c r="AQ53" s="33"/>
      <c r="AR53" s="33"/>
      <c r="AS53" s="33"/>
      <c r="AT53" s="34"/>
      <c r="AU53" s="12"/>
      <c r="AV53" s="73">
        <f>(($AB$19*$J$25)/1000)*W25</f>
        <v>9.4499999999999993</v>
      </c>
      <c r="AW53" s="109"/>
      <c r="AX53" s="109"/>
      <c r="AY53" s="110"/>
      <c r="AZ53" s="11"/>
    </row>
    <row r="54" spans="2:52" ht="4" customHeight="1" x14ac:dyDescent="0.35">
      <c r="B54" s="10"/>
      <c r="C54" s="65"/>
      <c r="D54" s="66"/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7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1"/>
    </row>
    <row r="55" spans="2:52" ht="16" thickBot="1" x14ac:dyDescent="0.4">
      <c r="B55" s="10"/>
      <c r="C55" s="68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69"/>
      <c r="Q55" s="69"/>
      <c r="R55" s="69"/>
      <c r="S55" s="69"/>
      <c r="T55" s="69"/>
      <c r="U55" s="69"/>
      <c r="V55" s="69"/>
      <c r="W55" s="69"/>
      <c r="X55" s="69"/>
      <c r="Y55" s="69"/>
      <c r="Z55" s="70"/>
      <c r="AA55" s="12"/>
      <c r="AB55" s="32" t="s">
        <v>34</v>
      </c>
      <c r="AC55" s="33"/>
      <c r="AD55" s="33"/>
      <c r="AE55" s="33"/>
      <c r="AF55" s="33"/>
      <c r="AG55" s="33"/>
      <c r="AH55" s="34"/>
      <c r="AI55" s="12"/>
      <c r="AJ55" s="73">
        <f>($AB$19*$J$25)/1000*AJ25</f>
        <v>0</v>
      </c>
      <c r="AK55" s="109"/>
      <c r="AL55" s="109"/>
      <c r="AM55" s="110"/>
      <c r="AN55" s="12"/>
      <c r="AO55" s="32" t="s">
        <v>35</v>
      </c>
      <c r="AP55" s="33"/>
      <c r="AQ55" s="33"/>
      <c r="AR55" s="33"/>
      <c r="AS55" s="33"/>
      <c r="AT55" s="34"/>
      <c r="AU55" s="12"/>
      <c r="AV55" s="73">
        <f>($AB$19*$J$25)/1000*AW25</f>
        <v>0</v>
      </c>
      <c r="AW55" s="109"/>
      <c r="AX55" s="109"/>
      <c r="AY55" s="110"/>
      <c r="AZ55" s="11"/>
    </row>
    <row r="56" spans="2:52" ht="4" customHeight="1" thickBot="1" x14ac:dyDescent="0.4">
      <c r="B56" s="20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2"/>
    </row>
  </sheetData>
  <sheetProtection sheet="1" objects="1" scenarios="1"/>
  <mergeCells count="111">
    <mergeCell ref="C3:AY3"/>
    <mergeCell ref="C5:Z7"/>
    <mergeCell ref="C9:Z9"/>
    <mergeCell ref="C43:I43"/>
    <mergeCell ref="K43:N43"/>
    <mergeCell ref="P43:U43"/>
    <mergeCell ref="W43:Z43"/>
    <mergeCell ref="C41:Z41"/>
    <mergeCell ref="C29:N29"/>
    <mergeCell ref="P29:Z29"/>
    <mergeCell ref="AB29:AM29"/>
    <mergeCell ref="AO29:AY29"/>
    <mergeCell ref="AT5:AY7"/>
    <mergeCell ref="AT9:AY9"/>
    <mergeCell ref="AB5:AF7"/>
    <mergeCell ref="AB9:AF9"/>
    <mergeCell ref="AH9:AJ9"/>
    <mergeCell ref="AH7:AJ7"/>
    <mergeCell ref="AL7:AN7"/>
    <mergeCell ref="AL9:AN9"/>
    <mergeCell ref="AP7:AR7"/>
    <mergeCell ref="AP9:AR9"/>
    <mergeCell ref="AH5:AR5"/>
    <mergeCell ref="AT13:AY13"/>
    <mergeCell ref="C11:Z11"/>
    <mergeCell ref="AB11:AF11"/>
    <mergeCell ref="AH11:AJ11"/>
    <mergeCell ref="AL11:AN11"/>
    <mergeCell ref="AP11:AR11"/>
    <mergeCell ref="AT11:AY11"/>
    <mergeCell ref="C13:Z13"/>
    <mergeCell ref="AB13:AF13"/>
    <mergeCell ref="AH13:AJ13"/>
    <mergeCell ref="AL13:AN13"/>
    <mergeCell ref="AP13:AR13"/>
    <mergeCell ref="AT17:AY17"/>
    <mergeCell ref="C15:Z15"/>
    <mergeCell ref="AB15:AF15"/>
    <mergeCell ref="AH15:AJ15"/>
    <mergeCell ref="AL15:AN15"/>
    <mergeCell ref="AP15:AR15"/>
    <mergeCell ref="AT15:AY15"/>
    <mergeCell ref="C17:Z17"/>
    <mergeCell ref="AB17:AF17"/>
    <mergeCell ref="AH17:AJ17"/>
    <mergeCell ref="AL17:AN17"/>
    <mergeCell ref="AP17:AR17"/>
    <mergeCell ref="AB19:AF19"/>
    <mergeCell ref="AL19:AN19"/>
    <mergeCell ref="AT19:AY19"/>
    <mergeCell ref="C19:Z19"/>
    <mergeCell ref="C23:AY23"/>
    <mergeCell ref="AB35:AM35"/>
    <mergeCell ref="AO35:AY35"/>
    <mergeCell ref="AB33:AY33"/>
    <mergeCell ref="C35:I35"/>
    <mergeCell ref="AP25:AU25"/>
    <mergeCell ref="AW25:AY25"/>
    <mergeCell ref="C25:H25"/>
    <mergeCell ref="J25:L25"/>
    <mergeCell ref="C27:Z27"/>
    <mergeCell ref="AB27:AY27"/>
    <mergeCell ref="P25:U25"/>
    <mergeCell ref="AC25:AH25"/>
    <mergeCell ref="AJ25:AL25"/>
    <mergeCell ref="W25:Y25"/>
    <mergeCell ref="C31:N31"/>
    <mergeCell ref="P31:Z31"/>
    <mergeCell ref="AB31:AM31"/>
    <mergeCell ref="AO31:AY31"/>
    <mergeCell ref="C33:N33"/>
    <mergeCell ref="P33:Z33"/>
    <mergeCell ref="AB49:AM49"/>
    <mergeCell ref="AO49:AY49"/>
    <mergeCell ref="AB37:AM37"/>
    <mergeCell ref="AO37:AY37"/>
    <mergeCell ref="AB39:AM39"/>
    <mergeCell ref="AO39:AY39"/>
    <mergeCell ref="AJ41:AM41"/>
    <mergeCell ref="AO41:AT41"/>
    <mergeCell ref="AV41:AY41"/>
    <mergeCell ref="AJ43:AM43"/>
    <mergeCell ref="AB45:AY45"/>
    <mergeCell ref="C39:I39"/>
    <mergeCell ref="K39:N39"/>
    <mergeCell ref="P39:U39"/>
    <mergeCell ref="W39:Z39"/>
    <mergeCell ref="C45:Z55"/>
    <mergeCell ref="AB55:AH55"/>
    <mergeCell ref="AJ55:AM55"/>
    <mergeCell ref="AO55:AT55"/>
    <mergeCell ref="AV55:AY55"/>
    <mergeCell ref="AB41:AH41"/>
    <mergeCell ref="AB43:AH43"/>
    <mergeCell ref="AJ51:AM51"/>
    <mergeCell ref="AJ53:AM53"/>
    <mergeCell ref="AO51:AT51"/>
    <mergeCell ref="AV51:AY51"/>
    <mergeCell ref="AO53:AT53"/>
    <mergeCell ref="AV53:AY53"/>
    <mergeCell ref="AB51:AH51"/>
    <mergeCell ref="AB53:AH53"/>
    <mergeCell ref="AB47:AM47"/>
    <mergeCell ref="AO47:AY47"/>
    <mergeCell ref="K35:N35"/>
    <mergeCell ref="P35:U35"/>
    <mergeCell ref="W35:Z35"/>
    <mergeCell ref="C37:I37"/>
    <mergeCell ref="K37:N37"/>
    <mergeCell ref="P37:U37"/>
    <mergeCell ref="W37:Z37"/>
  </mergeCells>
  <dataValidations count="1">
    <dataValidation type="list" allowBlank="1" showInputMessage="1" showErrorMessage="1" sqref="C9:Z9 C11:Z11 C13:Z13 C15:Z15 C17:Z17" xr:uid="{9872619E-CC1D-47EF-8F8C-5B6460FE100F}">
      <formula1>ListaFarine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F93ECF-2170-42E0-B64C-EA4395825828}">
          <x14:formula1>
            <xm:f>LOV!$A$2:$A$4</xm:f>
          </x14:formula1>
          <xm:sqref>P31:Z31</xm:sqref>
        </x14:dataValidation>
        <x14:dataValidation type="list" allowBlank="1" showInputMessage="1" showErrorMessage="1" xr:uid="{79BA8474-3CCA-4932-B22C-EE3CB37C2181}">
          <x14:formula1>
            <xm:f>LOV!$C$2:$C$3</xm:f>
          </x14:formula1>
          <xm:sqref>AO31:AY31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73CFD-902F-4DF7-BE7F-DDBDCF91F2E4}">
  <sheetPr codeName="Sheet12"/>
  <dimension ref="A1:C4"/>
  <sheetViews>
    <sheetView showGridLines="0" workbookViewId="0">
      <selection activeCell="D5" sqref="D5"/>
    </sheetView>
  </sheetViews>
  <sheetFormatPr defaultRowHeight="15.5" x14ac:dyDescent="0.35"/>
  <cols>
    <col min="1" max="1" width="16.4609375" style="1" bestFit="1" customWidth="1"/>
    <col min="2" max="2" width="1.15234375" style="1" bestFit="1" customWidth="1"/>
    <col min="3" max="3" width="17.23046875" style="1" bestFit="1" customWidth="1"/>
    <col min="4" max="16384" width="9.23046875" style="1"/>
  </cols>
  <sheetData>
    <row r="1" spans="1:3" x14ac:dyDescent="0.35">
      <c r="A1" s="1" t="s">
        <v>14</v>
      </c>
      <c r="B1" s="1" t="s">
        <v>5</v>
      </c>
      <c r="C1" s="1" t="s">
        <v>15</v>
      </c>
    </row>
    <row r="2" spans="1:3" x14ac:dyDescent="0.35">
      <c r="A2" s="1" t="s">
        <v>16</v>
      </c>
      <c r="C2" s="1" t="s">
        <v>17</v>
      </c>
    </row>
    <row r="3" spans="1:3" x14ac:dyDescent="0.35">
      <c r="A3" s="1" t="s">
        <v>17</v>
      </c>
      <c r="C3" s="1" t="s">
        <v>18</v>
      </c>
    </row>
    <row r="4" spans="1:3" x14ac:dyDescent="0.35">
      <c r="A4" s="1" t="s">
        <v>18</v>
      </c>
    </row>
  </sheetData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35DF6-8001-4204-AB35-FAE0C2E4B7D3}">
  <dimension ref="A1:G10"/>
  <sheetViews>
    <sheetView showGridLines="0" workbookViewId="0">
      <selection activeCell="A2" sqref="A2:A10"/>
    </sheetView>
  </sheetViews>
  <sheetFormatPr defaultRowHeight="15.5" x14ac:dyDescent="0.35"/>
  <cols>
    <col min="1" max="1" width="20.69140625" style="82" bestFit="1" customWidth="1"/>
    <col min="2" max="2" width="11.3046875" bestFit="1" customWidth="1"/>
    <col min="3" max="3" width="11.765625" bestFit="1" customWidth="1"/>
    <col min="4" max="4" width="11.53515625" bestFit="1" customWidth="1"/>
    <col min="5" max="5" width="10.765625" bestFit="1" customWidth="1"/>
    <col min="6" max="6" width="56.84375" style="82" bestFit="1" customWidth="1"/>
    <col min="7" max="7" width="35.15234375" bestFit="1" customWidth="1"/>
  </cols>
  <sheetData>
    <row r="1" spans="1:7" x14ac:dyDescent="0.35">
      <c r="A1" s="83" t="s">
        <v>45</v>
      </c>
      <c r="B1" s="6" t="s">
        <v>46</v>
      </c>
      <c r="C1" s="6" t="s">
        <v>47</v>
      </c>
      <c r="D1" s="6" t="s">
        <v>48</v>
      </c>
      <c r="E1" s="6" t="s">
        <v>49</v>
      </c>
      <c r="F1" s="83" t="s">
        <v>73</v>
      </c>
      <c r="G1" s="6" t="s">
        <v>54</v>
      </c>
    </row>
    <row r="2" spans="1:7" ht="39" x14ac:dyDescent="0.35">
      <c r="A2" s="83" t="s">
        <v>78</v>
      </c>
      <c r="B2" s="6">
        <v>260</v>
      </c>
      <c r="C2" s="6">
        <v>265</v>
      </c>
      <c r="D2" s="6">
        <v>270</v>
      </c>
      <c r="E2" s="6" t="s">
        <v>51</v>
      </c>
      <c r="F2" s="83" t="s">
        <v>63</v>
      </c>
      <c r="G2" s="6" t="s">
        <v>64</v>
      </c>
    </row>
    <row r="3" spans="1:7" ht="26" x14ac:dyDescent="0.35">
      <c r="A3" s="83" t="s">
        <v>75</v>
      </c>
      <c r="B3" s="6">
        <v>220</v>
      </c>
      <c r="C3" s="6">
        <v>230</v>
      </c>
      <c r="D3" s="6">
        <v>240</v>
      </c>
      <c r="E3" s="6" t="s">
        <v>51</v>
      </c>
      <c r="F3" s="83" t="s">
        <v>57</v>
      </c>
      <c r="G3" s="6" t="s">
        <v>58</v>
      </c>
    </row>
    <row r="4" spans="1:7" ht="39" x14ac:dyDescent="0.35">
      <c r="A4" s="83" t="s">
        <v>22</v>
      </c>
      <c r="B4" s="6">
        <v>300</v>
      </c>
      <c r="C4" s="6">
        <v>310</v>
      </c>
      <c r="D4" s="6">
        <v>320</v>
      </c>
      <c r="E4" s="6" t="s">
        <v>51</v>
      </c>
      <c r="F4" s="83" t="s">
        <v>69</v>
      </c>
      <c r="G4" s="6" t="s">
        <v>70</v>
      </c>
    </row>
    <row r="5" spans="1:7" ht="26" x14ac:dyDescent="0.35">
      <c r="A5" s="83" t="s">
        <v>74</v>
      </c>
      <c r="B5" s="6">
        <v>170</v>
      </c>
      <c r="C5" s="6">
        <v>180</v>
      </c>
      <c r="D5" s="6">
        <v>190</v>
      </c>
      <c r="E5" s="6" t="s">
        <v>50</v>
      </c>
      <c r="F5" s="83" t="s">
        <v>55</v>
      </c>
      <c r="G5" s="6" t="s">
        <v>56</v>
      </c>
    </row>
    <row r="6" spans="1:7" ht="39" x14ac:dyDescent="0.35">
      <c r="A6" s="83" t="s">
        <v>81</v>
      </c>
      <c r="B6" s="6">
        <v>370</v>
      </c>
      <c r="C6" s="6">
        <v>380</v>
      </c>
      <c r="D6" s="6">
        <v>390</v>
      </c>
      <c r="E6" s="6" t="s">
        <v>51</v>
      </c>
      <c r="F6" s="83" t="s">
        <v>71</v>
      </c>
      <c r="G6" s="6" t="s">
        <v>72</v>
      </c>
    </row>
    <row r="7" spans="1:7" ht="39" x14ac:dyDescent="0.35">
      <c r="A7" s="83" t="s">
        <v>80</v>
      </c>
      <c r="B7" s="6">
        <v>260</v>
      </c>
      <c r="C7" s="6">
        <v>270</v>
      </c>
      <c r="D7" s="6">
        <v>280</v>
      </c>
      <c r="E7" s="6" t="s">
        <v>51</v>
      </c>
      <c r="F7" s="83" t="s">
        <v>67</v>
      </c>
      <c r="G7" s="6" t="s">
        <v>68</v>
      </c>
    </row>
    <row r="8" spans="1:7" ht="26" x14ac:dyDescent="0.35">
      <c r="A8" s="83" t="s">
        <v>79</v>
      </c>
      <c r="B8" s="6">
        <v>260</v>
      </c>
      <c r="C8" s="6">
        <v>270</v>
      </c>
      <c r="D8" s="6">
        <v>280</v>
      </c>
      <c r="E8" s="6" t="s">
        <v>53</v>
      </c>
      <c r="F8" s="83" t="s">
        <v>65</v>
      </c>
      <c r="G8" s="6" t="s">
        <v>66</v>
      </c>
    </row>
    <row r="9" spans="1:7" ht="39" x14ac:dyDescent="0.35">
      <c r="A9" s="83" t="s">
        <v>77</v>
      </c>
      <c r="B9" s="6">
        <v>250</v>
      </c>
      <c r="C9" s="6">
        <v>250</v>
      </c>
      <c r="D9" s="6">
        <v>250</v>
      </c>
      <c r="E9" s="6" t="s">
        <v>52</v>
      </c>
      <c r="F9" s="83" t="s">
        <v>61</v>
      </c>
      <c r="G9" s="6" t="s">
        <v>62</v>
      </c>
    </row>
    <row r="10" spans="1:7" ht="52" x14ac:dyDescent="0.35">
      <c r="A10" s="83" t="s">
        <v>76</v>
      </c>
      <c r="B10" s="6">
        <v>250</v>
      </c>
      <c r="C10" s="6">
        <v>260</v>
      </c>
      <c r="D10" s="6">
        <v>270</v>
      </c>
      <c r="E10" s="6" t="s">
        <v>51</v>
      </c>
      <c r="F10" s="83" t="s">
        <v>59</v>
      </c>
      <c r="G10" s="6" t="s">
        <v>60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Calcola Impasti</vt:lpstr>
      <vt:lpstr>LOV</vt:lpstr>
      <vt:lpstr>Lista Farine</vt:lpstr>
      <vt:lpstr>Diretto</vt:lpstr>
      <vt:lpstr>Indiretto</vt:lpstr>
      <vt:lpstr>ListaFarine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Conversione-Lieviti</dc:title>
  <dc:subject/>
  <dc:creator>Robetti, Alberto</dc:creator>
  <cp:keywords/>
  <dc:description/>
  <cp:lastModifiedBy>Robetti, Alberto</cp:lastModifiedBy>
  <cp:revision>1</cp:revision>
  <cp:lastPrinted>1601-01-01T00:00:00Z</cp:lastPrinted>
  <dcterms:created xsi:type="dcterms:W3CDTF">2008-01-26T02:43:47Z</dcterms:created>
  <dcterms:modified xsi:type="dcterms:W3CDTF">2020-04-21T18:28:40Z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